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U Data\GenAI in SE\SLR-GenAI for SPM\SLR scraped web literature\Databases Analysis and Manual Filteration\papers for agreement\quality assessment scores and agreement\"/>
    </mc:Choice>
  </mc:AlternateContent>
  <xr:revisionPtr revIDLastSave="0" documentId="13_ncr:1_{6587DCFD-393B-430D-944D-42671525BF10}" xr6:coauthVersionLast="47" xr6:coauthVersionMax="47" xr10:uidLastSave="{00000000-0000-0000-0000-000000000000}"/>
  <bookViews>
    <workbookView xWindow="-108" yWindow="-108" windowWidth="23256" windowHeight="12456" xr2:uid="{00000000-000D-0000-FFFF-FFFF00000000}"/>
  </bookViews>
  <sheets>
    <sheet name="quality-assessment-score" sheetId="10" r:id="rId1"/>
    <sheet name="meta-data_quality_assessment_pa" sheetId="9"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1" i="10" l="1"/>
  <c r="H51" i="10"/>
  <c r="G51" i="10"/>
  <c r="L51" i="10" s="1"/>
  <c r="I50" i="10"/>
  <c r="H50" i="10"/>
  <c r="G50" i="10"/>
  <c r="L50" i="10" s="1"/>
  <c r="I49" i="10"/>
  <c r="H49" i="10"/>
  <c r="G49" i="10"/>
  <c r="I48" i="10"/>
  <c r="H48" i="10"/>
  <c r="G48" i="10"/>
  <c r="L48" i="10" s="1"/>
  <c r="L47" i="10"/>
  <c r="I47" i="10"/>
  <c r="H47" i="10"/>
  <c r="G47" i="10"/>
  <c r="I46" i="10"/>
  <c r="H46" i="10"/>
  <c r="L46" i="10" s="1"/>
  <c r="G46" i="10"/>
  <c r="I45" i="10"/>
  <c r="H45" i="10"/>
  <c r="G45" i="10"/>
  <c r="L45" i="10" s="1"/>
  <c r="I44" i="10"/>
  <c r="H44" i="10"/>
  <c r="G44" i="10"/>
  <c r="I43" i="10"/>
  <c r="H43" i="10"/>
  <c r="L43" i="10" s="1"/>
  <c r="G43" i="10"/>
  <c r="I42" i="10"/>
  <c r="H42" i="10"/>
  <c r="G42" i="10"/>
  <c r="I41" i="10"/>
  <c r="H41" i="10"/>
  <c r="L41" i="10" s="1"/>
  <c r="G41" i="10"/>
  <c r="I40" i="10"/>
  <c r="H40" i="10"/>
  <c r="G40" i="10"/>
  <c r="I39" i="10"/>
  <c r="H39" i="10"/>
  <c r="G39" i="10"/>
  <c r="L39" i="10" s="1"/>
  <c r="I38" i="10"/>
  <c r="H38" i="10"/>
  <c r="G38" i="10"/>
  <c r="L38" i="10" s="1"/>
  <c r="I37" i="10"/>
  <c r="H37" i="10"/>
  <c r="G37" i="10"/>
  <c r="G11" i="10"/>
  <c r="H11" i="10"/>
  <c r="I11" i="10"/>
  <c r="G12" i="10"/>
  <c r="H12" i="10"/>
  <c r="I12" i="10"/>
  <c r="G13" i="10"/>
  <c r="H13" i="10"/>
  <c r="I13" i="10"/>
  <c r="G14" i="10"/>
  <c r="H14" i="10"/>
  <c r="I14" i="10"/>
  <c r="G15" i="10"/>
  <c r="H15" i="10"/>
  <c r="I15" i="10"/>
  <c r="G16" i="10"/>
  <c r="H16" i="10"/>
  <c r="L16" i="10" s="1"/>
  <c r="I16" i="10"/>
  <c r="G17" i="10"/>
  <c r="L17" i="10" s="1"/>
  <c r="H17" i="10"/>
  <c r="I17" i="10"/>
  <c r="G18" i="10"/>
  <c r="H18" i="10"/>
  <c r="I18" i="10"/>
  <c r="L18" i="10" s="1"/>
  <c r="G19" i="10"/>
  <c r="H19" i="10"/>
  <c r="I19" i="10"/>
  <c r="L19" i="10" s="1"/>
  <c r="G20" i="10"/>
  <c r="H20" i="10"/>
  <c r="I20" i="10"/>
  <c r="G21" i="10"/>
  <c r="H21" i="10"/>
  <c r="I21" i="10"/>
  <c r="L21" i="10" s="1"/>
  <c r="G22" i="10"/>
  <c r="H22" i="10"/>
  <c r="L22" i="10" s="1"/>
  <c r="I22" i="10"/>
  <c r="G23" i="10"/>
  <c r="H23" i="10"/>
  <c r="I23" i="10"/>
  <c r="G24" i="10"/>
  <c r="H24" i="10"/>
  <c r="I24" i="10"/>
  <c r="L24" i="10" s="1"/>
  <c r="I10" i="10"/>
  <c r="H10" i="10"/>
  <c r="G10" i="10"/>
  <c r="L12" i="10" l="1"/>
  <c r="L49" i="10"/>
  <c r="L44" i="10"/>
  <c r="L20" i="10"/>
  <c r="L15" i="10"/>
  <c r="L14" i="10"/>
  <c r="L13" i="10"/>
  <c r="L23" i="10"/>
  <c r="L42" i="10"/>
  <c r="L40" i="10"/>
  <c r="L37" i="10"/>
  <c r="L11" i="10"/>
  <c r="L10" i="10"/>
  <c r="L54" i="10" l="1"/>
  <c r="L52" i="10"/>
  <c r="L27" i="10"/>
  <c r="L25" i="10"/>
</calcChain>
</file>

<file path=xl/sharedStrings.xml><?xml version="1.0" encoding="utf-8"?>
<sst xmlns="http://schemas.openxmlformats.org/spreadsheetml/2006/main" count="166" uniqueCount="110">
  <si>
    <t>Link</t>
  </si>
  <si>
    <t>Exploring the application of artificial intelligence in project management: A systematic literature review</t>
  </si>
  <si>
    <t>Projects play a crucial role in the success and development of industries, organizations and businesses, hence making project management an important practice which needs to be up to date with new trends and modern technology such as artificial intelligence (AI). With the advent of artificial intelligence there have been a number of studies aimed to design and introduce new ways and means of utilizing this phenomenon into project management. This research aims to find AI methods, tools, approaches, models and frameworks for each of the project management knowledge domains introduced by PMboK. The methodology followed the PRISMA guidelines for systematic literature reviews to collect, screen and analyze the literature to find relevant studies. The findings presented bibliographic data on the topic and current trends, frequently used AI methods and project management techniques and tools which benefit from these AI methods under each project management domain.</t>
  </si>
  <si>
    <t>https://growingscience.com/beta/jpm/7540-the-impact-of-technological-innovation-on-project-management-performance-the-mediating-roles-of-sustainability-culture-and-top-management-support.html</t>
  </si>
  <si>
    <t>How artificial intelligence will transform project management in the age of digitization: a systematic literature review</t>
  </si>
  <si>
    <t>Among the causes of the low success rate of the projects (around 35% of the total) is the low level of maturity of the technologies available for the management of the projects themselves. However, today many researchers, startups and innovative companies are starting to apply artificial intelligence (AI), machine learning and other advanced technologies to the field of project management. By 2030 the industry will undergo significant changes. By using the Preferred Reporting Items for Systematic Review and Meta-Analyses (PRISMA) protocol this paper explores the intersection of project risk management and AI. The study highlights how AI-driven methodologies and tools can revolutionize the way project risks are managed throughout the project lifecycle. Specifically, 215 papers have been analysed to explore how the scientific community has been moving so far on the topic. Besides, a cross-sectional investigation of the PM processes and AI categories/tools was carried out to identify any path that is prevalent, where the prevalence comes from, and for which PM process or sector it is most successful. Finally, from this study several gaps emerged that scientific research would have to fill to effectively implement AI in PM and that have been turned into opportunities for future research in the form of a research agenda. © The Author(s) 2024.</t>
  </si>
  <si>
    <t>https://link.springer.com/article/10.1007/s11301-024-00418-z</t>
  </si>
  <si>
    <t>Selected Papers</t>
  </si>
  <si>
    <t>Title</t>
  </si>
  <si>
    <t>Abstract</t>
  </si>
  <si>
    <t>Paper Title</t>
  </si>
  <si>
    <t>Evaluator</t>
  </si>
  <si>
    <t>QA No.</t>
  </si>
  <si>
    <t>QA. 1</t>
  </si>
  <si>
    <t>QA. 2</t>
  </si>
  <si>
    <t>QA. 3</t>
  </si>
  <si>
    <t>QA. 4</t>
  </si>
  <si>
    <t>QA. 5</t>
  </si>
  <si>
    <t>QA. 6</t>
  </si>
  <si>
    <t>QA. 7</t>
  </si>
  <si>
    <t>QA. 8</t>
  </si>
  <si>
    <t>QA. 9</t>
  </si>
  <si>
    <t>QA. 10</t>
  </si>
  <si>
    <t>QA. 11</t>
  </si>
  <si>
    <t>QA. 12</t>
  </si>
  <si>
    <t>QA. 13</t>
  </si>
  <si>
    <t>QA. 14</t>
  </si>
  <si>
    <t>QA. 15</t>
  </si>
  <si>
    <t>Did the authors adequately justify the need for undertaking the review?</t>
  </si>
  <si>
    <t>Did the authors establish a protocol prior to conducting the review?</t>
  </si>
  <si>
    <t>Did authors report their inclusion and exclusion criteria and justify them in terms of the review questions?</t>
  </si>
  <si>
    <t>Did the authors use a comprehensive literature search strategy?</t>
  </si>
  <si>
    <t>Did the authors use a reliable study selection process?</t>
  </si>
  <si>
    <t>Did the authors use a reliable data extraction process?</t>
  </si>
  <si>
    <t>Did the authors discuss and justify the exclusion of potentially relevant full-text studies?</t>
  </si>
  <si>
    <t>Did the authors provide sufficient characteristics of the primary studies to interpret the results?</t>
  </si>
  <si>
    <t>Did the authors use an appropriate instrument to assess the quality of included primary studies?</t>
  </si>
  <si>
    <t>Did the authors use a reliable quality assessment process?</t>
  </si>
  <si>
    <t>Were the primary studies appropriately synthesized?</t>
  </si>
  <si>
    <t>Did the authors investigate the impact of individual study quality on the review’s results?</t>
  </si>
  <si>
    <t>Did the authors investigate the impact of primary study characteristics on the review results?</t>
  </si>
  <si>
    <t>Did the authors provide appropriate recommendations and conclusions from the review?</t>
  </si>
  <si>
    <t>Did the authors report any potential sources of conflict of interest, including funding received?</t>
  </si>
  <si>
    <t xml:space="preserve">Quality Assessment Criteria </t>
  </si>
  <si>
    <t>Evaluation Scores</t>
  </si>
  <si>
    <t>Yes = 1.0</t>
  </si>
  <si>
    <t>Partial Yes = 0.5</t>
  </si>
  <si>
    <t>No = 0.0</t>
  </si>
  <si>
    <t>Quality Assessment (QA) Questions</t>
  </si>
  <si>
    <t>Total Score</t>
  </si>
  <si>
    <t>Average Score</t>
  </si>
  <si>
    <t>Associated Scores</t>
  </si>
  <si>
    <t>0 (No) = Not addressing the quality criteria at all.</t>
  </si>
  <si>
    <t>1 (Yes) = Fully addressing the quality criteria.</t>
  </si>
  <si>
    <t>0.5 (Partially) = Fulfilling quality criteria to some extent.</t>
  </si>
  <si>
    <t>Scoring Index</t>
  </si>
  <si>
    <t>PRISMA is followed, but no piloted protocol is reported.</t>
  </si>
  <si>
    <t>Sec.3 (p.454)</t>
  </si>
  <si>
    <t>(p. 451 and p. 453)</t>
  </si>
  <si>
    <t>Sec. 4 (p.454)</t>
  </si>
  <si>
    <t>N/A</t>
  </si>
  <si>
    <t>Sec. 4 (p.457~458)</t>
  </si>
  <si>
    <t>Sec.1 (p.453) and Sec. 3-4 (p.454)</t>
  </si>
  <si>
    <t>Sec. 5 (p.459)</t>
  </si>
  <si>
    <t>Sec. 5 (p.459-461)</t>
  </si>
  <si>
    <t>(p. 461-462)</t>
  </si>
  <si>
    <t>(_/15)</t>
  </si>
  <si>
    <t>Sec. 1 (p.1671)</t>
  </si>
  <si>
    <t>Sec. 2 (p.1671-1700)</t>
  </si>
  <si>
    <t>Sec. 2.2.2 (p. 1675-1676)</t>
  </si>
  <si>
    <t>Sec. 2.2.2 (p. 1675)</t>
  </si>
  <si>
    <t>Sec. 2.2.4 (p. 1676)</t>
  </si>
  <si>
    <t>Sec. 2.3.4 (p. 1679)</t>
  </si>
  <si>
    <t>Sec. 2.2.3 (p. 1676)</t>
  </si>
  <si>
    <t>Sec. 2.3 (p. 1676) and Sec. 2.4 (p. 1686)</t>
  </si>
  <si>
    <t>Sec. 2.4 (p. 1686) and Sec. 3 (p. 1700)</t>
  </si>
  <si>
    <t>Sec. 3.3 (p. 1702) and Sec. 4 (p.1707)</t>
  </si>
  <si>
    <t>(p. 1710)</t>
  </si>
  <si>
    <t>Reference</t>
  </si>
  <si>
    <t>Revised Justifications</t>
  </si>
  <si>
    <t>The abstract and introduction provide a clear justification for the importance of using AI in project management. However, this is a broad motivation related to the value of AI in the domain. It does not explicitly establish a specific need for conducting a systematic literature review. Since the rationale for a review is distinct from the general motivation to apply AI in PM, a partial score of 0.5 is assigned.</t>
  </si>
  <si>
    <t>Article filtration is described, but specific inclusion and exclusion criteria are not listed or clearly reported. No alignment with the research questions is provided.</t>
  </si>
  <si>
    <t>The search string is mentioned, but details regarding its construction, search date, validation using known literature, and the overall documented search process are missing.</t>
  </si>
  <si>
    <t>No information is provided about the number of authors/reviewers involved in the study selection process, and no agreement level is reported.</t>
  </si>
  <si>
    <t>There is no information about the number of authors/reviewers involved in the data extraction process, and no agreement level is reported.</t>
  </si>
  <si>
    <t>The findings describe the exclusion process based on full-text screening but do not include a list of all studies excluded during this stage.</t>
  </si>
  <si>
    <t>The study type and context are reported in a table that loosely maps to some PMBoK categories. However, the paper does not follow the PICOC framework.</t>
  </si>
  <si>
    <t>The aim and goal of the study are stated in the introduction; however, no specific quality assessment tool is reported. Additionally, the paper does not list any research questions.</t>
  </si>
  <si>
    <t>There is no information regarding the number of authors involved in the quality assessment of the eligible studies.</t>
  </si>
  <si>
    <t>A qualitative synthesis is performed, and results are presented in a table structured around various PMBoK areas. However, due to the absence of research questions, the interpretation of the data lacks direct alignment with clearly defined RQs. Additionally, a clear explanation of the synthesis process is missing.</t>
  </si>
  <si>
    <t>Manual filtration is reported, including the removal of low-citation studies and the exclusion of grey literature. Tables 2, 3, 4, and 5 present individual studies along with their topics and applications. However, the authors do not discuss how the quality of individual studies may have influenced the overall results.</t>
  </si>
  <si>
    <t>The study includes a comprehensive discussion section (Section 5) that examines the influence of the primary studies on the reported findings.</t>
  </si>
  <si>
    <t>The paper includes a conclusion section, but the recommendations are vague. Moreover, the connection between the findings and the initial motivation, as well as their relevance to stakeholders’ perspectives, is not clearly articulated.</t>
  </si>
  <si>
    <t>There is no information provided regarding funding sources or potential conflicts of interest.</t>
  </si>
  <si>
    <t>Existing literature is discussed, and the research gap, as well as the need for an SLR, is clearly established, along with the corresponding research questions.</t>
  </si>
  <si>
    <t>The research methodology is clearly defined.</t>
  </si>
  <si>
    <t>Inclusion and exclusion criteria are specified, but there is no clear alignment with the research questions. Additionally, the paper does not justify the restrictions applied during the literature scraping process.</t>
  </si>
  <si>
    <t>Keywords used to construct the search string are mentioned, but the exact search string, along with its construction process, is not provided.</t>
  </si>
  <si>
    <t>The paper does not specify how many authors were involved in the study selection process or how the reliability of the selection was ensured.</t>
  </si>
  <si>
    <t>There is no information about the number of authors involved in the data extraction process. Additionally, no evidence is provided regarding the level of agreement among authors during this process.</t>
  </si>
  <si>
    <t>The full text mentions that relevant studies were excluded, but it does not provide a list of those that were read in full and subsequently excluded from the review.</t>
  </si>
  <si>
    <t>Primary studies are reported in sufficient detail to support the findings. However, there is no alignment with the PICOC framework. Study types and contexts are mentioned.</t>
  </si>
  <si>
    <t>Quality assessment is conducted using three questions, but no standardized tool, checklist, or rubric is referenced or described in the paper.</t>
  </si>
  <si>
    <t>The number of authors involved in the quality assessment is not mentioned, and no evidence is provided regarding inter-rater agreement in the assessment process.</t>
  </si>
  <si>
    <t>The authors report a qualitative mapping analysis, organizing the literature into different thematic clusters. The analysis is aligned with the research questions and findings.</t>
  </si>
  <si>
    <t>This study does not provide a detailed analysis of the quality of individual studies or their impact on the overall results.</t>
  </si>
  <si>
    <t>The impact and results of the primary studies are described only briefly. The findings are primarily presented through alignment with the research questions.</t>
  </si>
  <si>
    <t>Recommendations are provided for practitioners regarding the use of AI and its applications. The paper also presents a detailed research agenda and identifies future opportunities.</t>
  </si>
  <si>
    <t>Funding sources, author contributions, and conflicts of interest are explicitly reported in the paper.</t>
  </si>
  <si>
    <t>Revised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</si>
</sst>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
      <b/>
      <i/>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2"/>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5">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1" fillId="0" borderId="1" xfId="0" applyFont="1" applyBorder="1" applyAlignment="1">
      <alignment horizontal="center"/>
    </xf>
    <xf numFmtId="0" fontId="0" fillId="2" borderId="0" xfId="0" applyFill="1"/>
    <xf numFmtId="0" fontId="2" fillId="0" borderId="0" xfId="0" applyFont="1" applyAlignment="1">
      <alignment horizontal="center" vertical="center" wrapText="1"/>
    </xf>
    <xf numFmtId="0" fontId="3" fillId="0" borderId="0" xfId="1" applyAlignment="1">
      <alignment horizontal="center" vertical="center" wrapText="1"/>
    </xf>
    <xf numFmtId="0" fontId="2" fillId="0" borderId="0" xfId="0" applyFont="1"/>
    <xf numFmtId="0" fontId="0" fillId="0" borderId="0" xfId="0" applyAlignment="1">
      <alignment horizontal="center" vertical="center"/>
    </xf>
    <xf numFmtId="0" fontId="6" fillId="0" borderId="0" xfId="0" applyFont="1"/>
    <xf numFmtId="0" fontId="6" fillId="0" borderId="0" xfId="0" applyFont="1" applyAlignment="1">
      <alignment horizontal="center" vertical="center"/>
    </xf>
    <xf numFmtId="0" fontId="0" fillId="4" borderId="0" xfId="0" applyFill="1"/>
    <xf numFmtId="0" fontId="0" fillId="0" borderId="0" xfId="0" applyAlignment="1">
      <alignment horizontal="center"/>
    </xf>
    <xf numFmtId="0" fontId="0" fillId="0" borderId="0" xfId="0" applyAlignment="1">
      <alignment wrapText="1"/>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5" borderId="0" xfId="0" applyFill="1" applyAlignment="1">
      <alignment horizontal="center" vertical="center"/>
    </xf>
    <xf numFmtId="0" fontId="0" fillId="6" borderId="0" xfId="0" applyFill="1" applyAlignment="1">
      <alignment horizontal="center" vertical="center"/>
    </xf>
    <xf numFmtId="0" fontId="5" fillId="2" borderId="0" xfId="0" applyFont="1" applyFill="1" applyAlignment="1">
      <alignment wrapText="1"/>
    </xf>
    <xf numFmtId="0" fontId="0" fillId="4" borderId="0" xfId="0" applyFill="1" applyAlignment="1">
      <alignment wrapText="1"/>
    </xf>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center" vertical="center" wrapText="1"/>
    </xf>
    <xf numFmtId="0" fontId="0" fillId="3" borderId="0" xfId="0" applyFill="1" applyAlignment="1">
      <alignment horizontal="center"/>
    </xf>
    <xf numFmtId="0" fontId="2" fillId="0" borderId="0" xfId="0" applyFont="1" applyAlignment="1">
      <alignment horizontal="center" vertical="center"/>
    </xf>
    <xf numFmtId="0" fontId="5" fillId="0" borderId="0" xfId="0" applyFont="1" applyAlignment="1">
      <alignment horizontal="left" wrapText="1"/>
    </xf>
    <xf numFmtId="0" fontId="2" fillId="0" borderId="0" xfId="0" applyFont="1" applyAlignment="1">
      <alignment horizontal="left"/>
    </xf>
    <xf numFmtId="0" fontId="7" fillId="3" borderId="0" xfId="0" applyFont="1" applyFill="1" applyAlignment="1">
      <alignment horizontal="center" vertical="center"/>
    </xf>
    <xf numFmtId="0" fontId="2" fillId="0" borderId="0" xfId="0" applyFont="1" applyAlignment="1">
      <alignment horizontal="center"/>
    </xf>
    <xf numFmtId="0" fontId="2" fillId="0" borderId="0" xfId="0" applyFont="1" applyFill="1" applyAlignment="1">
      <alignment vertical="center"/>
    </xf>
    <xf numFmtId="0" fontId="5" fillId="0" borderId="0" xfId="0" applyFont="1" applyFill="1" applyAlignment="1">
      <alignment wrapText="1"/>
    </xf>
    <xf numFmtId="0" fontId="0" fillId="0" borderId="0" xfId="0" applyFill="1"/>
    <xf numFmtId="0" fontId="0" fillId="0" borderId="0" xfId="0" applyFill="1" applyAlignment="1">
      <alignment wrapText="1"/>
    </xf>
    <xf numFmtId="0" fontId="2" fillId="0" borderId="0" xfId="0" applyFont="1" applyFill="1"/>
    <xf numFmtId="0" fontId="2"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0" xfId="0" applyFont="1" applyFill="1" applyAlignment="1">
      <alignment horizontal="center"/>
    </xf>
    <xf numFmtId="0" fontId="6" fillId="0" borderId="0" xfId="0" applyFont="1" applyFill="1" applyAlignment="1">
      <alignment horizontal="center" vertical="center"/>
    </xf>
    <xf numFmtId="0" fontId="6" fillId="0" borderId="0" xfId="0" applyFont="1" applyFill="1"/>
    <xf numFmtId="0" fontId="0" fillId="0" borderId="0" xfId="0" applyFill="1" applyAlignment="1">
      <alignment horizontal="center"/>
    </xf>
    <xf numFmtId="0" fontId="0" fillId="0" borderId="0" xfId="0" applyFill="1" applyAlignment="1">
      <alignment vertical="center" wrapText="1"/>
    </xf>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Fill="1" applyAlignment="1">
      <alignment vertical="center"/>
    </xf>
    <xf numFmtId="0" fontId="2" fillId="0"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growingscience.com/beta/jpm/7540-the-impact-of-technological-innovation-on-project-management-performance-the-mediating-roles-of-sustainability-culture-and-top-management-support.html" TargetMode="External"/><Relationship Id="rId1" Type="http://schemas.openxmlformats.org/officeDocument/2006/relationships/hyperlink" Target="https://link.springer.com/article/10.1007/s11301-024-00418-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78972-708C-4331-8E18-173DD92C354C}">
  <dimension ref="A1:S83"/>
  <sheetViews>
    <sheetView tabSelected="1" zoomScale="80" zoomScaleNormal="80" workbookViewId="0">
      <selection activeCell="B76" sqref="B76"/>
    </sheetView>
  </sheetViews>
  <sheetFormatPr defaultRowHeight="14.4" x14ac:dyDescent="0.3"/>
  <cols>
    <col min="1" max="1" width="9.88671875" bestFit="1" customWidth="1"/>
    <col min="2" max="2" width="86.33203125" style="14" bestFit="1" customWidth="1"/>
    <col min="4" max="4" width="14" bestFit="1" customWidth="1"/>
    <col min="6" max="6" width="2.5546875" customWidth="1"/>
    <col min="9" max="9" width="6.33203125" customWidth="1"/>
    <col min="10" max="10" width="5.33203125" customWidth="1"/>
    <col min="11" max="11" width="8.5546875" customWidth="1"/>
    <col min="13" max="13" width="6.44140625" customWidth="1"/>
    <col min="14" max="14" width="65.109375" customWidth="1"/>
    <col min="15" max="15" width="17.88671875" customWidth="1"/>
  </cols>
  <sheetData>
    <row r="1" spans="1:15" x14ac:dyDescent="0.3">
      <c r="A1" s="27" t="s">
        <v>43</v>
      </c>
      <c r="B1" s="27"/>
      <c r="C1" s="27"/>
      <c r="D1" s="27"/>
      <c r="E1" s="27"/>
      <c r="F1" s="27"/>
      <c r="G1" s="27"/>
      <c r="H1" s="27"/>
      <c r="I1" s="27"/>
      <c r="J1" s="27"/>
      <c r="K1" s="27"/>
      <c r="L1" s="27"/>
      <c r="M1" s="23"/>
      <c r="N1" s="23"/>
    </row>
    <row r="2" spans="1:15" x14ac:dyDescent="0.3">
      <c r="A2" s="27"/>
      <c r="B2" s="27"/>
      <c r="C2" s="27"/>
      <c r="D2" s="27"/>
      <c r="E2" s="27"/>
      <c r="F2" s="27"/>
      <c r="G2" s="27"/>
      <c r="H2" s="27"/>
      <c r="I2" s="27"/>
      <c r="J2" s="27"/>
      <c r="K2" s="27"/>
      <c r="L2" s="27"/>
      <c r="M2" s="23"/>
      <c r="N2" s="23"/>
    </row>
    <row r="3" spans="1:15" x14ac:dyDescent="0.3">
      <c r="A3" s="8" t="s">
        <v>11</v>
      </c>
      <c r="C3" s="26" t="s">
        <v>55</v>
      </c>
      <c r="D3" s="26"/>
      <c r="E3" s="26"/>
      <c r="F3" s="26"/>
      <c r="G3" s="26"/>
      <c r="H3" s="26"/>
      <c r="I3" s="26"/>
    </row>
    <row r="4" spans="1:15" ht="14.4" customHeight="1" x14ac:dyDescent="0.3">
      <c r="C4" s="25" t="s">
        <v>53</v>
      </c>
      <c r="D4" s="25"/>
      <c r="E4" s="25"/>
      <c r="F4" s="25"/>
      <c r="G4" s="25"/>
      <c r="H4" s="25"/>
      <c r="I4" s="25"/>
    </row>
    <row r="5" spans="1:15" ht="14.4" customHeight="1" x14ac:dyDescent="0.3">
      <c r="A5" s="8" t="s">
        <v>10</v>
      </c>
      <c r="B5" s="18" t="s">
        <v>1</v>
      </c>
      <c r="C5" s="25" t="s">
        <v>52</v>
      </c>
      <c r="D5" s="25"/>
      <c r="E5" s="25"/>
      <c r="F5" s="25"/>
      <c r="G5" s="25"/>
      <c r="H5" s="25"/>
      <c r="I5" s="25"/>
    </row>
    <row r="6" spans="1:15" ht="14.4" customHeight="1" x14ac:dyDescent="0.3">
      <c r="A6" s="8"/>
      <c r="C6" s="25" t="s">
        <v>54</v>
      </c>
      <c r="D6" s="25"/>
      <c r="E6" s="25"/>
      <c r="F6" s="25"/>
      <c r="G6" s="25"/>
      <c r="H6" s="25"/>
      <c r="I6" s="25"/>
    </row>
    <row r="7" spans="1:15" x14ac:dyDescent="0.3">
      <c r="A7" s="24" t="s">
        <v>12</v>
      </c>
      <c r="B7" s="22" t="s">
        <v>48</v>
      </c>
      <c r="C7" s="28" t="s">
        <v>44</v>
      </c>
      <c r="D7" s="28"/>
      <c r="E7" s="28"/>
      <c r="F7" s="28"/>
      <c r="G7" s="28"/>
      <c r="H7" s="28"/>
      <c r="L7" s="22" t="s">
        <v>109</v>
      </c>
      <c r="N7" s="24" t="s">
        <v>79</v>
      </c>
      <c r="O7" s="24" t="s">
        <v>78</v>
      </c>
    </row>
    <row r="8" spans="1:15" x14ac:dyDescent="0.3">
      <c r="A8" s="24"/>
      <c r="B8" s="22"/>
      <c r="C8" s="11" t="s">
        <v>45</v>
      </c>
      <c r="D8" s="11" t="s">
        <v>46</v>
      </c>
      <c r="E8" s="11" t="s">
        <v>47</v>
      </c>
      <c r="G8" s="24" t="s">
        <v>51</v>
      </c>
      <c r="H8" s="24"/>
      <c r="I8" s="24"/>
      <c r="L8" s="22"/>
      <c r="N8" s="24"/>
      <c r="O8" s="24"/>
    </row>
    <row r="9" spans="1:15" x14ac:dyDescent="0.3">
      <c r="C9" s="10"/>
      <c r="D9" s="10"/>
      <c r="E9" s="10"/>
      <c r="L9" s="13" t="s">
        <v>66</v>
      </c>
    </row>
    <row r="10" spans="1:15" ht="86.4" x14ac:dyDescent="0.3">
      <c r="A10" s="9" t="s">
        <v>13</v>
      </c>
      <c r="B10" s="1" t="s">
        <v>28</v>
      </c>
      <c r="C10" s="15" t="b">
        <v>0</v>
      </c>
      <c r="D10" s="15" t="b">
        <v>1</v>
      </c>
      <c r="E10" s="15" t="b">
        <v>0</v>
      </c>
      <c r="G10" s="9">
        <f>IF(C10,1,0)</f>
        <v>0</v>
      </c>
      <c r="H10" s="9">
        <f>IF(D10,0.5,0)</f>
        <v>0.5</v>
      </c>
      <c r="I10" s="9">
        <f>IF(E10,0,0)</f>
        <v>0</v>
      </c>
      <c r="L10" s="9">
        <f>SUM(G10:I10)</f>
        <v>0.5</v>
      </c>
      <c r="N10" s="1" t="s">
        <v>80</v>
      </c>
      <c r="O10" s="2" t="s">
        <v>58</v>
      </c>
    </row>
    <row r="11" spans="1:15" x14ac:dyDescent="0.3">
      <c r="A11" s="9" t="s">
        <v>14</v>
      </c>
      <c r="B11" s="1" t="s">
        <v>29</v>
      </c>
      <c r="C11" s="15" t="b">
        <v>0</v>
      </c>
      <c r="D11" s="15" t="b">
        <v>0</v>
      </c>
      <c r="E11" s="15" t="b">
        <v>1</v>
      </c>
      <c r="G11" s="9">
        <f t="shared" ref="G11:G24" si="0">IF(C11,1,0)</f>
        <v>0</v>
      </c>
      <c r="H11" s="9">
        <f t="shared" ref="H11:H24" si="1">IF(D11,0.5,0)</f>
        <v>0</v>
      </c>
      <c r="I11" s="9">
        <f t="shared" ref="I11:I24" si="2">IF(E11,0,0)</f>
        <v>0</v>
      </c>
      <c r="L11" s="9">
        <f t="shared" ref="L11:L24" si="3">SUM(G11:I11)</f>
        <v>0</v>
      </c>
      <c r="N11" s="20" t="s">
        <v>56</v>
      </c>
      <c r="O11" s="9" t="s">
        <v>57</v>
      </c>
    </row>
    <row r="12" spans="1:15" ht="43.2" x14ac:dyDescent="0.3">
      <c r="A12" s="9" t="s">
        <v>15</v>
      </c>
      <c r="B12" s="1" t="s">
        <v>30</v>
      </c>
      <c r="C12" s="15" t="b">
        <v>0</v>
      </c>
      <c r="D12" s="15" t="b">
        <v>0</v>
      </c>
      <c r="E12" s="15" t="b">
        <v>1</v>
      </c>
      <c r="G12" s="9">
        <f t="shared" si="0"/>
        <v>0</v>
      </c>
      <c r="H12" s="9">
        <f t="shared" si="1"/>
        <v>0</v>
      </c>
      <c r="I12" s="9">
        <f t="shared" si="2"/>
        <v>0</v>
      </c>
      <c r="L12" s="9">
        <f t="shared" si="3"/>
        <v>0</v>
      </c>
      <c r="N12" s="1" t="s">
        <v>81</v>
      </c>
      <c r="O12" s="9" t="s">
        <v>59</v>
      </c>
    </row>
    <row r="13" spans="1:15" ht="43.2" x14ac:dyDescent="0.3">
      <c r="A13" s="9" t="s">
        <v>16</v>
      </c>
      <c r="B13" s="1" t="s">
        <v>31</v>
      </c>
      <c r="C13" s="15" t="b">
        <v>0</v>
      </c>
      <c r="D13" s="15" t="b">
        <v>0</v>
      </c>
      <c r="E13" s="15" t="b">
        <v>1</v>
      </c>
      <c r="G13" s="9">
        <f t="shared" si="0"/>
        <v>0</v>
      </c>
      <c r="H13" s="9">
        <f t="shared" si="1"/>
        <v>0</v>
      </c>
      <c r="I13" s="9">
        <f t="shared" si="2"/>
        <v>0</v>
      </c>
      <c r="L13" s="9">
        <f t="shared" si="3"/>
        <v>0</v>
      </c>
      <c r="N13" s="1" t="s">
        <v>82</v>
      </c>
      <c r="O13" s="9" t="s">
        <v>57</v>
      </c>
    </row>
    <row r="14" spans="1:15" ht="28.8" x14ac:dyDescent="0.3">
      <c r="A14" s="9" t="s">
        <v>17</v>
      </c>
      <c r="B14" s="1" t="s">
        <v>32</v>
      </c>
      <c r="C14" s="15" t="b">
        <v>0</v>
      </c>
      <c r="D14" s="15" t="b">
        <v>0</v>
      </c>
      <c r="E14" s="15" t="b">
        <v>1</v>
      </c>
      <c r="G14" s="9">
        <f t="shared" si="0"/>
        <v>0</v>
      </c>
      <c r="H14" s="9">
        <f t="shared" si="1"/>
        <v>0</v>
      </c>
      <c r="I14" s="9">
        <f t="shared" si="2"/>
        <v>0</v>
      </c>
      <c r="L14" s="9">
        <f t="shared" si="3"/>
        <v>0</v>
      </c>
      <c r="N14" s="1" t="s">
        <v>83</v>
      </c>
      <c r="O14" s="9" t="s">
        <v>60</v>
      </c>
    </row>
    <row r="15" spans="1:15" ht="28.8" x14ac:dyDescent="0.3">
      <c r="A15" s="9" t="s">
        <v>18</v>
      </c>
      <c r="B15" s="1" t="s">
        <v>33</v>
      </c>
      <c r="C15" s="15" t="b">
        <v>0</v>
      </c>
      <c r="D15" s="15" t="b">
        <v>0</v>
      </c>
      <c r="E15" s="15" t="b">
        <v>1</v>
      </c>
      <c r="G15" s="9">
        <f t="shared" si="0"/>
        <v>0</v>
      </c>
      <c r="H15" s="9">
        <f t="shared" si="1"/>
        <v>0</v>
      </c>
      <c r="I15" s="9">
        <f t="shared" si="2"/>
        <v>0</v>
      </c>
      <c r="L15" s="9">
        <f t="shared" si="3"/>
        <v>0</v>
      </c>
      <c r="N15" s="1" t="s">
        <v>84</v>
      </c>
      <c r="O15" s="9" t="s">
        <v>60</v>
      </c>
    </row>
    <row r="16" spans="1:15" ht="28.8" x14ac:dyDescent="0.3">
      <c r="A16" s="9" t="s">
        <v>19</v>
      </c>
      <c r="B16" s="1" t="s">
        <v>34</v>
      </c>
      <c r="C16" s="15" t="b">
        <v>0</v>
      </c>
      <c r="D16" s="15" t="b">
        <v>1</v>
      </c>
      <c r="E16" s="15" t="b">
        <v>0</v>
      </c>
      <c r="G16" s="9">
        <f t="shared" si="0"/>
        <v>0</v>
      </c>
      <c r="H16" s="9">
        <f t="shared" si="1"/>
        <v>0.5</v>
      </c>
      <c r="I16" s="9">
        <f t="shared" si="2"/>
        <v>0</v>
      </c>
      <c r="L16" s="9">
        <f t="shared" si="3"/>
        <v>0.5</v>
      </c>
      <c r="N16" s="1" t="s">
        <v>85</v>
      </c>
      <c r="O16" s="9" t="s">
        <v>59</v>
      </c>
    </row>
    <row r="17" spans="1:15" ht="43.2" x14ac:dyDescent="0.3">
      <c r="A17" s="9" t="s">
        <v>20</v>
      </c>
      <c r="B17" s="1" t="s">
        <v>35</v>
      </c>
      <c r="C17" s="15" t="b">
        <v>0</v>
      </c>
      <c r="D17" s="15" t="b">
        <v>1</v>
      </c>
      <c r="E17" s="15" t="b">
        <v>0</v>
      </c>
      <c r="G17" s="9">
        <f t="shared" si="0"/>
        <v>0</v>
      </c>
      <c r="H17" s="9">
        <f t="shared" si="1"/>
        <v>0.5</v>
      </c>
      <c r="I17" s="9">
        <f t="shared" si="2"/>
        <v>0</v>
      </c>
      <c r="L17" s="9">
        <f t="shared" si="3"/>
        <v>0.5</v>
      </c>
      <c r="N17" s="1" t="s">
        <v>86</v>
      </c>
      <c r="O17" s="9" t="s">
        <v>61</v>
      </c>
    </row>
    <row r="18" spans="1:15" ht="43.2" x14ac:dyDescent="0.3">
      <c r="A18" s="9" t="s">
        <v>21</v>
      </c>
      <c r="B18" s="1" t="s">
        <v>36</v>
      </c>
      <c r="C18" s="15" t="b">
        <v>0</v>
      </c>
      <c r="D18" s="15" t="b">
        <v>0</v>
      </c>
      <c r="E18" s="15" t="b">
        <v>1</v>
      </c>
      <c r="G18" s="9">
        <f t="shared" si="0"/>
        <v>0</v>
      </c>
      <c r="H18" s="9">
        <f t="shared" si="1"/>
        <v>0</v>
      </c>
      <c r="I18" s="9">
        <f t="shared" si="2"/>
        <v>0</v>
      </c>
      <c r="L18" s="9">
        <f t="shared" si="3"/>
        <v>0</v>
      </c>
      <c r="N18" s="1" t="s">
        <v>87</v>
      </c>
      <c r="O18" s="2" t="s">
        <v>62</v>
      </c>
    </row>
    <row r="19" spans="1:15" ht="28.8" x14ac:dyDescent="0.3">
      <c r="A19" s="9" t="s">
        <v>22</v>
      </c>
      <c r="B19" s="1" t="s">
        <v>37</v>
      </c>
      <c r="C19" s="15" t="b">
        <v>0</v>
      </c>
      <c r="D19" s="15" t="b">
        <v>0</v>
      </c>
      <c r="E19" s="15" t="b">
        <v>1</v>
      </c>
      <c r="G19" s="9">
        <f t="shared" si="0"/>
        <v>0</v>
      </c>
      <c r="H19" s="9">
        <f t="shared" si="1"/>
        <v>0</v>
      </c>
      <c r="I19" s="9">
        <f t="shared" si="2"/>
        <v>0</v>
      </c>
      <c r="L19" s="9">
        <f t="shared" si="3"/>
        <v>0</v>
      </c>
      <c r="N19" s="1" t="s">
        <v>88</v>
      </c>
      <c r="O19" s="9" t="s">
        <v>60</v>
      </c>
    </row>
    <row r="20" spans="1:15" ht="72" x14ac:dyDescent="0.3">
      <c r="A20" s="9" t="s">
        <v>23</v>
      </c>
      <c r="B20" s="1" t="s">
        <v>38</v>
      </c>
      <c r="C20" s="15" t="b">
        <v>0</v>
      </c>
      <c r="D20" s="15" t="b">
        <v>1</v>
      </c>
      <c r="E20" s="15" t="b">
        <v>1</v>
      </c>
      <c r="G20" s="9">
        <f t="shared" si="0"/>
        <v>0</v>
      </c>
      <c r="H20" s="9">
        <f t="shared" si="1"/>
        <v>0.5</v>
      </c>
      <c r="I20" s="9">
        <f t="shared" si="2"/>
        <v>0</v>
      </c>
      <c r="L20" s="9">
        <f t="shared" si="3"/>
        <v>0.5</v>
      </c>
      <c r="N20" s="1" t="s">
        <v>89</v>
      </c>
      <c r="O20" s="9" t="s">
        <v>61</v>
      </c>
    </row>
    <row r="21" spans="1:15" ht="72" x14ac:dyDescent="0.3">
      <c r="A21" s="9" t="s">
        <v>24</v>
      </c>
      <c r="B21" s="1" t="s">
        <v>39</v>
      </c>
      <c r="C21" s="15" t="b">
        <v>0</v>
      </c>
      <c r="D21" s="15" t="b">
        <v>1</v>
      </c>
      <c r="E21" s="15" t="b">
        <v>0</v>
      </c>
      <c r="G21" s="9">
        <f t="shared" si="0"/>
        <v>0</v>
      </c>
      <c r="H21" s="9">
        <f t="shared" si="1"/>
        <v>0.5</v>
      </c>
      <c r="I21" s="9">
        <f t="shared" si="2"/>
        <v>0</v>
      </c>
      <c r="L21" s="9">
        <f t="shared" si="3"/>
        <v>0.5</v>
      </c>
      <c r="N21" s="1" t="s">
        <v>90</v>
      </c>
      <c r="O21" s="9" t="s">
        <v>63</v>
      </c>
    </row>
    <row r="22" spans="1:15" ht="28.8" x14ac:dyDescent="0.3">
      <c r="A22" s="9" t="s">
        <v>25</v>
      </c>
      <c r="B22" s="1" t="s">
        <v>40</v>
      </c>
      <c r="C22" s="15" t="b">
        <v>1</v>
      </c>
      <c r="D22" s="15" t="b">
        <v>0</v>
      </c>
      <c r="E22" s="15" t="b">
        <v>0</v>
      </c>
      <c r="G22" s="9">
        <f t="shared" si="0"/>
        <v>1</v>
      </c>
      <c r="H22" s="9">
        <f t="shared" si="1"/>
        <v>0</v>
      </c>
      <c r="I22" s="9">
        <f t="shared" si="2"/>
        <v>0</v>
      </c>
      <c r="L22" s="9">
        <f t="shared" si="3"/>
        <v>1</v>
      </c>
      <c r="N22" s="1" t="s">
        <v>91</v>
      </c>
      <c r="O22" s="9" t="s">
        <v>64</v>
      </c>
    </row>
    <row r="23" spans="1:15" ht="57.6" x14ac:dyDescent="0.3">
      <c r="A23" s="9" t="s">
        <v>26</v>
      </c>
      <c r="B23" s="1" t="s">
        <v>41</v>
      </c>
      <c r="C23" s="15" t="b">
        <v>0</v>
      </c>
      <c r="D23" s="15" t="b">
        <v>1</v>
      </c>
      <c r="E23" s="15" t="b">
        <v>0</v>
      </c>
      <c r="G23" s="9">
        <f t="shared" si="0"/>
        <v>0</v>
      </c>
      <c r="H23" s="9">
        <f t="shared" si="1"/>
        <v>0.5</v>
      </c>
      <c r="I23" s="9">
        <f t="shared" si="2"/>
        <v>0</v>
      </c>
      <c r="L23" s="9">
        <f t="shared" si="3"/>
        <v>0.5</v>
      </c>
      <c r="N23" s="1" t="s">
        <v>92</v>
      </c>
      <c r="O23" s="9" t="s">
        <v>65</v>
      </c>
    </row>
    <row r="24" spans="1:15" ht="28.8" x14ac:dyDescent="0.3">
      <c r="A24" s="9" t="s">
        <v>27</v>
      </c>
      <c r="B24" s="1" t="s">
        <v>42</v>
      </c>
      <c r="C24" s="15" t="b">
        <v>0</v>
      </c>
      <c r="D24" s="15" t="b">
        <v>0</v>
      </c>
      <c r="E24" s="15" t="b">
        <v>1</v>
      </c>
      <c r="G24" s="9">
        <f t="shared" si="0"/>
        <v>0</v>
      </c>
      <c r="H24" s="9">
        <f t="shared" si="1"/>
        <v>0</v>
      </c>
      <c r="I24" s="9">
        <f t="shared" si="2"/>
        <v>0</v>
      </c>
      <c r="L24" s="9">
        <f t="shared" si="3"/>
        <v>0</v>
      </c>
      <c r="N24" s="1" t="s">
        <v>93</v>
      </c>
      <c r="O24" s="9" t="s">
        <v>60</v>
      </c>
    </row>
    <row r="25" spans="1:15" ht="34.200000000000003" customHeight="1" x14ac:dyDescent="0.3">
      <c r="K25" s="6" t="s">
        <v>49</v>
      </c>
      <c r="L25" s="16">
        <f>SUM(L10:L24)</f>
        <v>4</v>
      </c>
    </row>
    <row r="27" spans="1:15" ht="48" customHeight="1" x14ac:dyDescent="0.3">
      <c r="K27" s="6" t="s">
        <v>50</v>
      </c>
      <c r="L27" s="17">
        <f>AVERAGE(L10:L24)</f>
        <v>0.26666666666666666</v>
      </c>
    </row>
    <row r="29" spans="1:15" s="12" customFormat="1" x14ac:dyDescent="0.3">
      <c r="B29" s="19"/>
    </row>
    <row r="31" spans="1:15" ht="28.8" x14ac:dyDescent="0.3">
      <c r="A31" s="21" t="s">
        <v>10</v>
      </c>
      <c r="B31" s="18" t="s">
        <v>4</v>
      </c>
    </row>
    <row r="33" spans="1:15" x14ac:dyDescent="0.3">
      <c r="A33" s="8"/>
    </row>
    <row r="34" spans="1:15" ht="14.4" customHeight="1" x14ac:dyDescent="0.3">
      <c r="A34" s="24" t="s">
        <v>12</v>
      </c>
      <c r="B34" s="22" t="s">
        <v>48</v>
      </c>
      <c r="C34" s="28" t="s">
        <v>44</v>
      </c>
      <c r="D34" s="28"/>
      <c r="E34" s="28"/>
      <c r="F34" s="28"/>
      <c r="G34" s="28"/>
      <c r="H34" s="28"/>
      <c r="L34" s="22" t="s">
        <v>109</v>
      </c>
      <c r="N34" s="24" t="s">
        <v>79</v>
      </c>
      <c r="O34" s="24" t="s">
        <v>78</v>
      </c>
    </row>
    <row r="35" spans="1:15" x14ac:dyDescent="0.3">
      <c r="A35" s="24"/>
      <c r="B35" s="22"/>
      <c r="C35" s="11" t="s">
        <v>45</v>
      </c>
      <c r="D35" s="11" t="s">
        <v>46</v>
      </c>
      <c r="E35" s="11" t="s">
        <v>47</v>
      </c>
      <c r="G35" s="24" t="s">
        <v>51</v>
      </c>
      <c r="H35" s="24"/>
      <c r="I35" s="24"/>
      <c r="L35" s="22"/>
      <c r="N35" s="24"/>
      <c r="O35" s="24"/>
    </row>
    <row r="36" spans="1:15" x14ac:dyDescent="0.3">
      <c r="C36" s="10"/>
      <c r="D36" s="10"/>
      <c r="E36" s="10"/>
      <c r="L36" s="13" t="s">
        <v>66</v>
      </c>
    </row>
    <row r="37" spans="1:15" ht="43.2" x14ac:dyDescent="0.3">
      <c r="A37" s="9" t="s">
        <v>13</v>
      </c>
      <c r="B37" s="1" t="s">
        <v>28</v>
      </c>
      <c r="C37" s="15" t="b">
        <v>1</v>
      </c>
      <c r="D37" s="15" t="b">
        <v>0</v>
      </c>
      <c r="E37" s="15" t="b">
        <v>0</v>
      </c>
      <c r="G37" s="9">
        <f>IF(C37,1,0)</f>
        <v>1</v>
      </c>
      <c r="H37" s="9">
        <f>IF(D37,0.5,0)</f>
        <v>0</v>
      </c>
      <c r="I37" s="9">
        <f>IF(E37,0,0)</f>
        <v>0</v>
      </c>
      <c r="L37" s="9">
        <f>SUM(G37:I37)</f>
        <v>1</v>
      </c>
      <c r="N37" s="1" t="s">
        <v>94</v>
      </c>
      <c r="O37" s="2" t="s">
        <v>67</v>
      </c>
    </row>
    <row r="38" spans="1:15" x14ac:dyDescent="0.3">
      <c r="A38" s="9" t="s">
        <v>14</v>
      </c>
      <c r="B38" s="1" t="s">
        <v>29</v>
      </c>
      <c r="C38" s="15" t="b">
        <v>1</v>
      </c>
      <c r="D38" s="15" t="b">
        <v>0</v>
      </c>
      <c r="E38" s="15" t="b">
        <v>0</v>
      </c>
      <c r="G38" s="9">
        <f t="shared" ref="G38:G51" si="4">IF(C38,1,0)</f>
        <v>1</v>
      </c>
      <c r="H38" s="9">
        <f t="shared" ref="H38:H51" si="5">IF(D38,0.5,0)</f>
        <v>0</v>
      </c>
      <c r="I38" s="9">
        <f t="shared" ref="I38:I51" si="6">IF(E38,0,0)</f>
        <v>0</v>
      </c>
      <c r="L38" s="9">
        <f t="shared" ref="L38:L51" si="7">SUM(G38:I38)</f>
        <v>1</v>
      </c>
      <c r="N38" s="20" t="s">
        <v>95</v>
      </c>
      <c r="O38" s="2" t="s">
        <v>68</v>
      </c>
    </row>
    <row r="39" spans="1:15" ht="43.2" x14ac:dyDescent="0.3">
      <c r="A39" s="9" t="s">
        <v>15</v>
      </c>
      <c r="B39" s="1" t="s">
        <v>30</v>
      </c>
      <c r="C39" s="15" t="b">
        <v>0</v>
      </c>
      <c r="D39" s="15" t="b">
        <v>1</v>
      </c>
      <c r="E39" s="15" t="b">
        <v>0</v>
      </c>
      <c r="G39" s="9">
        <f t="shared" si="4"/>
        <v>0</v>
      </c>
      <c r="H39" s="9">
        <f t="shared" si="5"/>
        <v>0.5</v>
      </c>
      <c r="I39" s="9">
        <f t="shared" si="6"/>
        <v>0</v>
      </c>
      <c r="L39" s="9">
        <f t="shared" si="7"/>
        <v>0.5</v>
      </c>
      <c r="N39" s="1" t="s">
        <v>96</v>
      </c>
      <c r="O39" s="2" t="s">
        <v>69</v>
      </c>
    </row>
    <row r="40" spans="1:15" ht="28.8" x14ac:dyDescent="0.3">
      <c r="A40" s="9" t="s">
        <v>16</v>
      </c>
      <c r="B40" s="1" t="s">
        <v>31</v>
      </c>
      <c r="C40" s="15" t="b">
        <v>0</v>
      </c>
      <c r="D40" s="15" t="b">
        <v>0</v>
      </c>
      <c r="E40" s="15" t="b">
        <v>1</v>
      </c>
      <c r="G40" s="9">
        <f t="shared" si="4"/>
        <v>0</v>
      </c>
      <c r="H40" s="9">
        <f t="shared" si="5"/>
        <v>0</v>
      </c>
      <c r="I40" s="9">
        <f t="shared" si="6"/>
        <v>0</v>
      </c>
      <c r="L40" s="9">
        <f t="shared" si="7"/>
        <v>0</v>
      </c>
      <c r="N40" s="1" t="s">
        <v>97</v>
      </c>
      <c r="O40" s="2" t="s">
        <v>70</v>
      </c>
    </row>
    <row r="41" spans="1:15" ht="28.8" x14ac:dyDescent="0.3">
      <c r="A41" s="9" t="s">
        <v>17</v>
      </c>
      <c r="B41" s="1" t="s">
        <v>32</v>
      </c>
      <c r="C41" s="15" t="b">
        <v>0</v>
      </c>
      <c r="D41" s="15" t="b">
        <v>0</v>
      </c>
      <c r="E41" s="15" t="b">
        <v>1</v>
      </c>
      <c r="G41" s="9">
        <f t="shared" si="4"/>
        <v>0</v>
      </c>
      <c r="H41" s="9">
        <f t="shared" si="5"/>
        <v>0</v>
      </c>
      <c r="I41" s="9">
        <f t="shared" si="6"/>
        <v>0</v>
      </c>
      <c r="L41" s="9">
        <f t="shared" si="7"/>
        <v>0</v>
      </c>
      <c r="N41" s="1" t="s">
        <v>98</v>
      </c>
      <c r="O41" s="2" t="s">
        <v>60</v>
      </c>
    </row>
    <row r="42" spans="1:15" ht="43.2" x14ac:dyDescent="0.3">
      <c r="A42" s="9" t="s">
        <v>18</v>
      </c>
      <c r="B42" s="1" t="s">
        <v>33</v>
      </c>
      <c r="C42" s="15" t="b">
        <v>0</v>
      </c>
      <c r="D42" s="15" t="b">
        <v>0</v>
      </c>
      <c r="E42" s="15" t="b">
        <v>1</v>
      </c>
      <c r="G42" s="9">
        <f t="shared" si="4"/>
        <v>0</v>
      </c>
      <c r="H42" s="9">
        <f t="shared" si="5"/>
        <v>0</v>
      </c>
      <c r="I42" s="9">
        <f t="shared" si="6"/>
        <v>0</v>
      </c>
      <c r="L42" s="9">
        <f t="shared" si="7"/>
        <v>0</v>
      </c>
      <c r="N42" s="1" t="s">
        <v>99</v>
      </c>
      <c r="O42" s="2" t="s">
        <v>60</v>
      </c>
    </row>
    <row r="43" spans="1:15" ht="43.2" x14ac:dyDescent="0.3">
      <c r="A43" s="9" t="s">
        <v>19</v>
      </c>
      <c r="B43" s="1" t="s">
        <v>34</v>
      </c>
      <c r="C43" s="15" t="b">
        <v>0</v>
      </c>
      <c r="D43" s="15" t="b">
        <v>1</v>
      </c>
      <c r="E43" s="15" t="b">
        <v>0</v>
      </c>
      <c r="G43" s="9">
        <f t="shared" si="4"/>
        <v>0</v>
      </c>
      <c r="H43" s="9">
        <f t="shared" si="5"/>
        <v>0.5</v>
      </c>
      <c r="I43" s="9">
        <f t="shared" si="6"/>
        <v>0</v>
      </c>
      <c r="L43" s="9">
        <f t="shared" si="7"/>
        <v>0.5</v>
      </c>
      <c r="N43" s="1" t="s">
        <v>100</v>
      </c>
      <c r="O43" s="2" t="s">
        <v>71</v>
      </c>
    </row>
    <row r="44" spans="1:15" ht="43.2" x14ac:dyDescent="0.3">
      <c r="A44" s="9" t="s">
        <v>20</v>
      </c>
      <c r="B44" s="1" t="s">
        <v>35</v>
      </c>
      <c r="C44" s="15" t="b">
        <v>0</v>
      </c>
      <c r="D44" s="15" t="b">
        <v>1</v>
      </c>
      <c r="E44" s="15" t="b">
        <v>0</v>
      </c>
      <c r="G44" s="9">
        <f t="shared" si="4"/>
        <v>0</v>
      </c>
      <c r="H44" s="9">
        <f t="shared" si="5"/>
        <v>0.5</v>
      </c>
      <c r="I44" s="9">
        <f t="shared" si="6"/>
        <v>0</v>
      </c>
      <c r="L44" s="9">
        <f t="shared" si="7"/>
        <v>0.5</v>
      </c>
      <c r="N44" s="1" t="s">
        <v>101</v>
      </c>
      <c r="O44" s="2" t="s">
        <v>72</v>
      </c>
    </row>
    <row r="45" spans="1:15" ht="28.8" x14ac:dyDescent="0.3">
      <c r="A45" s="9" t="s">
        <v>21</v>
      </c>
      <c r="B45" s="1" t="s">
        <v>36</v>
      </c>
      <c r="C45" s="15" t="b">
        <v>0</v>
      </c>
      <c r="D45" s="15" t="b">
        <v>1</v>
      </c>
      <c r="E45" s="15" t="b">
        <v>0</v>
      </c>
      <c r="G45" s="9">
        <f t="shared" si="4"/>
        <v>0</v>
      </c>
      <c r="H45" s="9">
        <f t="shared" si="5"/>
        <v>0.5</v>
      </c>
      <c r="I45" s="9">
        <f t="shared" si="6"/>
        <v>0</v>
      </c>
      <c r="L45" s="9">
        <f t="shared" si="7"/>
        <v>0.5</v>
      </c>
      <c r="N45" s="1" t="s">
        <v>102</v>
      </c>
      <c r="O45" s="2" t="s">
        <v>73</v>
      </c>
    </row>
    <row r="46" spans="1:15" ht="43.2" x14ac:dyDescent="0.3">
      <c r="A46" s="9" t="s">
        <v>22</v>
      </c>
      <c r="B46" s="1" t="s">
        <v>37</v>
      </c>
      <c r="C46" s="15" t="b">
        <v>0</v>
      </c>
      <c r="D46" s="15" t="b">
        <v>0</v>
      </c>
      <c r="E46" s="15" t="b">
        <v>1</v>
      </c>
      <c r="G46" s="9">
        <f t="shared" si="4"/>
        <v>0</v>
      </c>
      <c r="H46" s="9">
        <f t="shared" si="5"/>
        <v>0</v>
      </c>
      <c r="I46" s="9">
        <f t="shared" si="6"/>
        <v>0</v>
      </c>
      <c r="L46" s="9">
        <f t="shared" si="7"/>
        <v>0</v>
      </c>
      <c r="N46" s="1" t="s">
        <v>103</v>
      </c>
      <c r="O46" s="2" t="s">
        <v>60</v>
      </c>
    </row>
    <row r="47" spans="1:15" ht="43.2" x14ac:dyDescent="0.3">
      <c r="A47" s="9" t="s">
        <v>23</v>
      </c>
      <c r="B47" s="1" t="s">
        <v>38</v>
      </c>
      <c r="C47" s="15" t="b">
        <v>1</v>
      </c>
      <c r="D47" s="15" t="b">
        <v>0</v>
      </c>
      <c r="E47" s="15" t="b">
        <v>0</v>
      </c>
      <c r="G47" s="9">
        <f t="shared" si="4"/>
        <v>1</v>
      </c>
      <c r="H47" s="9">
        <f t="shared" si="5"/>
        <v>0</v>
      </c>
      <c r="I47" s="9">
        <f t="shared" si="6"/>
        <v>0</v>
      </c>
      <c r="L47" s="9">
        <f t="shared" si="7"/>
        <v>1</v>
      </c>
      <c r="N47" s="1" t="s">
        <v>104</v>
      </c>
      <c r="O47" s="2" t="s">
        <v>74</v>
      </c>
    </row>
    <row r="48" spans="1:15" ht="28.8" x14ac:dyDescent="0.3">
      <c r="A48" s="9" t="s">
        <v>24</v>
      </c>
      <c r="B48" s="1" t="s">
        <v>39</v>
      </c>
      <c r="C48" s="15" t="b">
        <v>0</v>
      </c>
      <c r="D48" s="15" t="b">
        <v>0</v>
      </c>
      <c r="E48" s="15" t="b">
        <v>1</v>
      </c>
      <c r="G48" s="9">
        <f t="shared" si="4"/>
        <v>0</v>
      </c>
      <c r="H48" s="9">
        <f t="shared" si="5"/>
        <v>0</v>
      </c>
      <c r="I48" s="9">
        <f t="shared" si="6"/>
        <v>0</v>
      </c>
      <c r="L48" s="9">
        <f t="shared" si="7"/>
        <v>0</v>
      </c>
      <c r="N48" s="1" t="s">
        <v>105</v>
      </c>
      <c r="O48" s="2" t="s">
        <v>75</v>
      </c>
    </row>
    <row r="49" spans="1:19" ht="43.2" x14ac:dyDescent="0.3">
      <c r="A49" s="9" t="s">
        <v>25</v>
      </c>
      <c r="B49" s="1" t="s">
        <v>40</v>
      </c>
      <c r="C49" s="15" t="b">
        <v>0</v>
      </c>
      <c r="D49" s="15" t="b">
        <v>1</v>
      </c>
      <c r="E49" s="15" t="b">
        <v>0</v>
      </c>
      <c r="G49" s="9">
        <f t="shared" si="4"/>
        <v>0</v>
      </c>
      <c r="H49" s="9">
        <f t="shared" si="5"/>
        <v>0.5</v>
      </c>
      <c r="I49" s="9">
        <f t="shared" si="6"/>
        <v>0</v>
      </c>
      <c r="L49" s="9">
        <f t="shared" si="7"/>
        <v>0.5</v>
      </c>
      <c r="N49" s="1" t="s">
        <v>106</v>
      </c>
      <c r="O49" s="2" t="s">
        <v>75</v>
      </c>
    </row>
    <row r="50" spans="1:19" ht="43.2" x14ac:dyDescent="0.3">
      <c r="A50" s="9" t="s">
        <v>26</v>
      </c>
      <c r="B50" s="1" t="s">
        <v>41</v>
      </c>
      <c r="C50" s="15" t="b">
        <v>1</v>
      </c>
      <c r="D50" s="15" t="b">
        <v>0</v>
      </c>
      <c r="E50" s="15" t="b">
        <v>0</v>
      </c>
      <c r="G50" s="9">
        <f t="shared" si="4"/>
        <v>1</v>
      </c>
      <c r="H50" s="9">
        <f t="shared" si="5"/>
        <v>0</v>
      </c>
      <c r="I50" s="9">
        <f t="shared" si="6"/>
        <v>0</v>
      </c>
      <c r="L50" s="9">
        <f t="shared" si="7"/>
        <v>1</v>
      </c>
      <c r="N50" s="1" t="s">
        <v>107</v>
      </c>
      <c r="O50" s="2" t="s">
        <v>76</v>
      </c>
    </row>
    <row r="51" spans="1:19" ht="28.8" x14ac:dyDescent="0.3">
      <c r="A51" s="9" t="s">
        <v>27</v>
      </c>
      <c r="B51" s="1" t="s">
        <v>42</v>
      </c>
      <c r="C51" s="15" t="b">
        <v>1</v>
      </c>
      <c r="D51" s="15" t="b">
        <v>0</v>
      </c>
      <c r="E51" s="15" t="b">
        <v>0</v>
      </c>
      <c r="G51" s="9">
        <f t="shared" si="4"/>
        <v>1</v>
      </c>
      <c r="H51" s="9">
        <f t="shared" si="5"/>
        <v>0</v>
      </c>
      <c r="I51" s="9">
        <f t="shared" si="6"/>
        <v>0</v>
      </c>
      <c r="L51" s="9">
        <f t="shared" si="7"/>
        <v>1</v>
      </c>
      <c r="N51" s="1" t="s">
        <v>108</v>
      </c>
      <c r="O51" s="2" t="s">
        <v>77</v>
      </c>
    </row>
    <row r="52" spans="1:19" ht="44.4" customHeight="1" x14ac:dyDescent="0.3">
      <c r="K52" s="6" t="s">
        <v>49</v>
      </c>
      <c r="L52" s="16">
        <f>SUM(L37:L51)</f>
        <v>7.5</v>
      </c>
    </row>
    <row r="54" spans="1:19" ht="40.200000000000003" customHeight="1" x14ac:dyDescent="0.3">
      <c r="K54" s="6" t="s">
        <v>50</v>
      </c>
      <c r="L54" s="17">
        <f>AVERAGE(L37:L51)</f>
        <v>0.5</v>
      </c>
    </row>
    <row r="56" spans="1:19" s="12" customFormat="1" x14ac:dyDescent="0.3">
      <c r="B56" s="19"/>
    </row>
    <row r="58" spans="1:19" x14ac:dyDescent="0.3">
      <c r="A58" s="29"/>
      <c r="B58" s="30"/>
      <c r="C58" s="31"/>
      <c r="D58" s="31"/>
      <c r="E58" s="31"/>
      <c r="F58" s="31"/>
      <c r="G58" s="31"/>
      <c r="H58" s="31"/>
      <c r="I58" s="31"/>
      <c r="J58" s="31"/>
      <c r="K58" s="31"/>
      <c r="L58" s="31"/>
      <c r="M58" s="31"/>
      <c r="N58" s="31"/>
      <c r="O58" s="31"/>
      <c r="P58" s="31"/>
      <c r="Q58" s="31"/>
      <c r="R58" s="31"/>
      <c r="S58" s="31"/>
    </row>
    <row r="59" spans="1:19" x14ac:dyDescent="0.3">
      <c r="A59" s="31"/>
      <c r="B59" s="32"/>
      <c r="C59" s="31"/>
      <c r="D59" s="31"/>
      <c r="E59" s="31"/>
      <c r="F59" s="31"/>
      <c r="G59" s="31"/>
      <c r="H59" s="31"/>
      <c r="I59" s="31"/>
      <c r="J59" s="31"/>
      <c r="K59" s="31"/>
      <c r="L59" s="31"/>
      <c r="M59" s="31"/>
      <c r="N59" s="31"/>
      <c r="O59" s="31"/>
      <c r="P59" s="31"/>
      <c r="Q59" s="31"/>
      <c r="R59" s="31"/>
      <c r="S59" s="31"/>
    </row>
    <row r="60" spans="1:19" x14ac:dyDescent="0.3">
      <c r="A60" s="33"/>
      <c r="B60" s="32"/>
      <c r="C60" s="31"/>
      <c r="D60" s="31"/>
      <c r="E60" s="31"/>
      <c r="F60" s="31"/>
      <c r="G60" s="31"/>
      <c r="H60" s="31"/>
      <c r="I60" s="31"/>
      <c r="J60" s="31"/>
      <c r="K60" s="31"/>
      <c r="L60" s="31"/>
      <c r="M60" s="31"/>
      <c r="N60" s="31"/>
      <c r="O60" s="31"/>
      <c r="P60" s="31"/>
      <c r="Q60" s="31"/>
      <c r="R60" s="31"/>
      <c r="S60" s="31"/>
    </row>
    <row r="61" spans="1:19" ht="14.4" customHeight="1" x14ac:dyDescent="0.3">
      <c r="A61" s="34"/>
      <c r="B61" s="35"/>
      <c r="C61" s="36"/>
      <c r="D61" s="36"/>
      <c r="E61" s="36"/>
      <c r="F61" s="36"/>
      <c r="G61" s="36"/>
      <c r="H61" s="36"/>
      <c r="I61" s="31"/>
      <c r="J61" s="31"/>
      <c r="K61" s="31"/>
      <c r="L61" s="35"/>
      <c r="M61" s="31"/>
      <c r="N61" s="35"/>
      <c r="O61" s="35"/>
      <c r="P61" s="31"/>
      <c r="Q61" s="31"/>
      <c r="R61" s="31"/>
      <c r="S61" s="31"/>
    </row>
    <row r="62" spans="1:19" x14ac:dyDescent="0.3">
      <c r="A62" s="34"/>
      <c r="B62" s="35"/>
      <c r="C62" s="37"/>
      <c r="D62" s="37"/>
      <c r="E62" s="37"/>
      <c r="F62" s="31"/>
      <c r="G62" s="34"/>
      <c r="H62" s="34"/>
      <c r="I62" s="34"/>
      <c r="J62" s="31"/>
      <c r="K62" s="31"/>
      <c r="L62" s="35"/>
      <c r="M62" s="31"/>
      <c r="N62" s="35"/>
      <c r="O62" s="35"/>
      <c r="P62" s="31"/>
      <c r="Q62" s="31"/>
      <c r="R62" s="31"/>
      <c r="S62" s="31"/>
    </row>
    <row r="63" spans="1:19" x14ac:dyDescent="0.3">
      <c r="A63" s="31"/>
      <c r="B63" s="32"/>
      <c r="C63" s="38"/>
      <c r="D63" s="38"/>
      <c r="E63" s="38"/>
      <c r="F63" s="31"/>
      <c r="G63" s="31"/>
      <c r="H63" s="31"/>
      <c r="I63" s="31"/>
      <c r="J63" s="31"/>
      <c r="K63" s="31"/>
      <c r="L63" s="39"/>
      <c r="M63" s="31"/>
      <c r="N63" s="40"/>
      <c r="O63" s="41"/>
      <c r="P63" s="31"/>
      <c r="Q63" s="31"/>
      <c r="R63" s="31"/>
      <c r="S63" s="31"/>
    </row>
    <row r="64" spans="1:19" x14ac:dyDescent="0.3">
      <c r="A64" s="42"/>
      <c r="B64" s="40"/>
      <c r="C64" s="40"/>
      <c r="D64" s="40"/>
      <c r="E64" s="40"/>
      <c r="F64" s="31"/>
      <c r="G64" s="42"/>
      <c r="H64" s="42"/>
      <c r="I64" s="42"/>
      <c r="J64" s="31"/>
      <c r="K64" s="31"/>
      <c r="L64" s="42"/>
      <c r="M64" s="31"/>
      <c r="N64" s="40"/>
      <c r="O64" s="41"/>
      <c r="P64" s="31"/>
      <c r="Q64" s="31"/>
      <c r="R64" s="31"/>
      <c r="S64" s="31"/>
    </row>
    <row r="65" spans="1:19" x14ac:dyDescent="0.3">
      <c r="A65" s="42"/>
      <c r="B65" s="40"/>
      <c r="C65" s="40"/>
      <c r="D65" s="40"/>
      <c r="E65" s="40"/>
      <c r="F65" s="31"/>
      <c r="G65" s="42"/>
      <c r="H65" s="42"/>
      <c r="I65" s="42"/>
      <c r="J65" s="31"/>
      <c r="K65" s="31"/>
      <c r="L65" s="42"/>
      <c r="M65" s="31"/>
      <c r="N65" s="40"/>
      <c r="O65" s="41"/>
      <c r="P65" s="31"/>
      <c r="Q65" s="31"/>
      <c r="R65" s="31"/>
      <c r="S65" s="31"/>
    </row>
    <row r="66" spans="1:19" x14ac:dyDescent="0.3">
      <c r="A66" s="42"/>
      <c r="B66" s="40"/>
      <c r="C66" s="40"/>
      <c r="D66" s="40"/>
      <c r="E66" s="40"/>
      <c r="F66" s="31"/>
      <c r="G66" s="42"/>
      <c r="H66" s="42"/>
      <c r="I66" s="42"/>
      <c r="J66" s="31"/>
      <c r="K66" s="31"/>
      <c r="L66" s="42"/>
      <c r="M66" s="31"/>
      <c r="N66" s="40"/>
      <c r="O66" s="41"/>
      <c r="P66" s="31"/>
      <c r="Q66" s="31"/>
      <c r="R66" s="31"/>
      <c r="S66" s="31"/>
    </row>
    <row r="67" spans="1:19" x14ac:dyDescent="0.3">
      <c r="A67" s="42"/>
      <c r="B67" s="40"/>
      <c r="C67" s="40"/>
      <c r="D67" s="40"/>
      <c r="E67" s="40"/>
      <c r="F67" s="31"/>
      <c r="G67" s="42"/>
      <c r="H67" s="42"/>
      <c r="I67" s="42"/>
      <c r="J67" s="31"/>
      <c r="K67" s="31"/>
      <c r="L67" s="42"/>
      <c r="M67" s="31"/>
      <c r="N67" s="40"/>
      <c r="O67" s="41"/>
      <c r="P67" s="31"/>
      <c r="Q67" s="31"/>
      <c r="R67" s="31"/>
      <c r="S67" s="31"/>
    </row>
    <row r="68" spans="1:19" x14ac:dyDescent="0.3">
      <c r="A68" s="42"/>
      <c r="B68" s="40"/>
      <c r="C68" s="40"/>
      <c r="D68" s="40"/>
      <c r="E68" s="40"/>
      <c r="F68" s="31"/>
      <c r="G68" s="42"/>
      <c r="H68" s="42"/>
      <c r="I68" s="42"/>
      <c r="J68" s="31"/>
      <c r="K68" s="31"/>
      <c r="L68" s="42"/>
      <c r="M68" s="31"/>
      <c r="N68" s="40"/>
      <c r="O68" s="41"/>
      <c r="P68" s="31"/>
      <c r="Q68" s="31"/>
      <c r="R68" s="31"/>
      <c r="S68" s="31"/>
    </row>
    <row r="69" spans="1:19" x14ac:dyDescent="0.3">
      <c r="A69" s="42"/>
      <c r="B69" s="40"/>
      <c r="C69" s="40"/>
      <c r="D69" s="40"/>
      <c r="E69" s="40"/>
      <c r="F69" s="31"/>
      <c r="G69" s="42"/>
      <c r="H69" s="42"/>
      <c r="I69" s="42"/>
      <c r="J69" s="31"/>
      <c r="K69" s="31"/>
      <c r="L69" s="42"/>
      <c r="M69" s="31"/>
      <c r="N69" s="40"/>
      <c r="O69" s="41"/>
      <c r="P69" s="31"/>
      <c r="Q69" s="31"/>
      <c r="R69" s="31"/>
      <c r="S69" s="31"/>
    </row>
    <row r="70" spans="1:19" x14ac:dyDescent="0.3">
      <c r="A70" s="42"/>
      <c r="B70" s="40"/>
      <c r="C70" s="40"/>
      <c r="D70" s="40"/>
      <c r="E70" s="40"/>
      <c r="F70" s="31"/>
      <c r="G70" s="42"/>
      <c r="H70" s="42"/>
      <c r="I70" s="42"/>
      <c r="J70" s="31"/>
      <c r="K70" s="31"/>
      <c r="L70" s="42"/>
      <c r="M70" s="31"/>
      <c r="N70" s="40"/>
      <c r="O70" s="41"/>
      <c r="P70" s="31"/>
      <c r="Q70" s="31"/>
      <c r="R70" s="31"/>
      <c r="S70" s="31"/>
    </row>
    <row r="71" spans="1:19" x14ac:dyDescent="0.3">
      <c r="A71" s="42"/>
      <c r="B71" s="40"/>
      <c r="C71" s="40"/>
      <c r="D71" s="40"/>
      <c r="E71" s="40"/>
      <c r="F71" s="31"/>
      <c r="G71" s="42"/>
      <c r="H71" s="42"/>
      <c r="I71" s="42"/>
      <c r="J71" s="31"/>
      <c r="K71" s="31"/>
      <c r="L71" s="42"/>
      <c r="M71" s="31"/>
      <c r="N71" s="40"/>
      <c r="O71" s="41"/>
      <c r="P71" s="31"/>
      <c r="Q71" s="31"/>
      <c r="R71" s="31"/>
      <c r="S71" s="31"/>
    </row>
    <row r="72" spans="1:19" x14ac:dyDescent="0.3">
      <c r="A72" s="42"/>
      <c r="B72" s="40"/>
      <c r="C72" s="40"/>
      <c r="D72" s="40"/>
      <c r="E72" s="40"/>
      <c r="F72" s="31"/>
      <c r="G72" s="42"/>
      <c r="H72" s="42"/>
      <c r="I72" s="42"/>
      <c r="J72" s="31"/>
      <c r="K72" s="31"/>
      <c r="L72" s="42"/>
      <c r="M72" s="31"/>
      <c r="N72" s="43"/>
      <c r="O72" s="41"/>
      <c r="P72" s="31"/>
      <c r="Q72" s="31"/>
      <c r="R72" s="31"/>
      <c r="S72" s="31"/>
    </row>
    <row r="73" spans="1:19" x14ac:dyDescent="0.3">
      <c r="A73" s="42"/>
      <c r="B73" s="40"/>
      <c r="C73" s="40"/>
      <c r="D73" s="40"/>
      <c r="E73" s="40"/>
      <c r="F73" s="31"/>
      <c r="G73" s="42"/>
      <c r="H73" s="42"/>
      <c r="I73" s="42"/>
      <c r="J73" s="31"/>
      <c r="K73" s="31"/>
      <c r="L73" s="42"/>
      <c r="M73" s="31"/>
      <c r="N73" s="40"/>
      <c r="O73" s="41"/>
      <c r="P73" s="31"/>
      <c r="Q73" s="31"/>
      <c r="R73" s="31"/>
      <c r="S73" s="31"/>
    </row>
    <row r="74" spans="1:19" x14ac:dyDescent="0.3">
      <c r="A74" s="42"/>
      <c r="B74" s="40"/>
      <c r="C74" s="40"/>
      <c r="D74" s="40"/>
      <c r="E74" s="40"/>
      <c r="F74" s="31"/>
      <c r="G74" s="42"/>
      <c r="H74" s="42"/>
      <c r="I74" s="42"/>
      <c r="J74" s="31"/>
      <c r="K74" s="31"/>
      <c r="L74" s="42"/>
      <c r="M74" s="31"/>
      <c r="N74" s="40"/>
      <c r="O74" s="41"/>
      <c r="P74" s="31"/>
      <c r="Q74" s="31"/>
      <c r="R74" s="31"/>
      <c r="S74" s="31"/>
    </row>
    <row r="75" spans="1:19" x14ac:dyDescent="0.3">
      <c r="A75" s="42"/>
      <c r="B75" s="40"/>
      <c r="C75" s="40"/>
      <c r="D75" s="40"/>
      <c r="E75" s="40"/>
      <c r="F75" s="31"/>
      <c r="G75" s="42"/>
      <c r="H75" s="42"/>
      <c r="I75" s="42"/>
      <c r="J75" s="31"/>
      <c r="K75" s="31"/>
      <c r="L75" s="42"/>
      <c r="M75" s="31"/>
      <c r="N75" s="40"/>
      <c r="O75" s="41"/>
      <c r="P75" s="31"/>
      <c r="Q75" s="31"/>
      <c r="R75" s="31"/>
      <c r="S75" s="31"/>
    </row>
    <row r="76" spans="1:19" x14ac:dyDescent="0.3">
      <c r="A76" s="42"/>
      <c r="B76" s="40"/>
      <c r="C76" s="40"/>
      <c r="D76" s="40"/>
      <c r="E76" s="40"/>
      <c r="F76" s="31"/>
      <c r="G76" s="42"/>
      <c r="H76" s="42"/>
      <c r="I76" s="42"/>
      <c r="J76" s="31"/>
      <c r="K76" s="31"/>
      <c r="L76" s="42"/>
      <c r="M76" s="31"/>
      <c r="N76" s="40"/>
      <c r="O76" s="41"/>
      <c r="P76" s="31"/>
      <c r="Q76" s="31"/>
      <c r="R76" s="31"/>
      <c r="S76" s="31"/>
    </row>
    <row r="77" spans="1:19" x14ac:dyDescent="0.3">
      <c r="A77" s="42"/>
      <c r="B77" s="40"/>
      <c r="C77" s="40"/>
      <c r="D77" s="40"/>
      <c r="E77" s="40"/>
      <c r="F77" s="31"/>
      <c r="G77" s="42"/>
      <c r="H77" s="42"/>
      <c r="I77" s="42"/>
      <c r="J77" s="31"/>
      <c r="K77" s="31"/>
      <c r="L77" s="42"/>
      <c r="M77" s="31"/>
      <c r="N77" s="40"/>
      <c r="O77" s="41"/>
      <c r="P77" s="31"/>
      <c r="Q77" s="31"/>
      <c r="R77" s="31"/>
      <c r="S77" s="31"/>
    </row>
    <row r="78" spans="1:19" x14ac:dyDescent="0.3">
      <c r="A78" s="42"/>
      <c r="B78" s="40"/>
      <c r="C78" s="40"/>
      <c r="D78" s="40"/>
      <c r="E78" s="40"/>
      <c r="F78" s="31"/>
      <c r="G78" s="42"/>
      <c r="H78" s="42"/>
      <c r="I78" s="42"/>
      <c r="J78" s="31"/>
      <c r="K78" s="31"/>
      <c r="L78" s="42"/>
      <c r="M78" s="31"/>
      <c r="N78" s="43"/>
      <c r="O78" s="41"/>
      <c r="P78" s="31"/>
      <c r="Q78" s="31"/>
      <c r="R78" s="31"/>
      <c r="S78" s="31"/>
    </row>
    <row r="79" spans="1:19" ht="39.6" customHeight="1" x14ac:dyDescent="0.3">
      <c r="A79" s="31"/>
      <c r="B79" s="32"/>
      <c r="C79" s="31"/>
      <c r="D79" s="31"/>
      <c r="E79" s="31"/>
      <c r="F79" s="31"/>
      <c r="G79" s="31"/>
      <c r="H79" s="31"/>
      <c r="I79" s="31"/>
      <c r="J79" s="31"/>
      <c r="K79" s="44"/>
      <c r="L79" s="42"/>
      <c r="M79" s="31"/>
      <c r="N79" s="31"/>
      <c r="O79" s="31"/>
      <c r="P79" s="31"/>
      <c r="Q79" s="31"/>
      <c r="R79" s="31"/>
      <c r="S79" s="31"/>
    </row>
    <row r="80" spans="1:19" x14ac:dyDescent="0.3">
      <c r="A80" s="31"/>
      <c r="B80" s="32"/>
      <c r="C80" s="31"/>
      <c r="D80" s="31"/>
      <c r="E80" s="31"/>
      <c r="F80" s="31"/>
      <c r="G80" s="31"/>
      <c r="H80" s="31"/>
      <c r="I80" s="31"/>
      <c r="J80" s="31"/>
      <c r="K80" s="31"/>
      <c r="L80" s="31"/>
      <c r="M80" s="31"/>
      <c r="N80" s="31"/>
      <c r="O80" s="31"/>
      <c r="P80" s="31"/>
      <c r="Q80" s="31"/>
      <c r="R80" s="31"/>
      <c r="S80" s="31"/>
    </row>
    <row r="81" spans="1:19" ht="53.4" customHeight="1" x14ac:dyDescent="0.3">
      <c r="A81" s="31"/>
      <c r="B81" s="32"/>
      <c r="C81" s="31"/>
      <c r="D81" s="31"/>
      <c r="E81" s="31"/>
      <c r="F81" s="31"/>
      <c r="G81" s="31"/>
      <c r="H81" s="31"/>
      <c r="I81" s="31"/>
      <c r="J81" s="31"/>
      <c r="K81" s="44"/>
      <c r="L81" s="42"/>
      <c r="M81" s="31"/>
      <c r="N81" s="31"/>
      <c r="O81" s="31"/>
      <c r="P81" s="31"/>
      <c r="Q81" s="31"/>
      <c r="R81" s="31"/>
      <c r="S81" s="31"/>
    </row>
    <row r="82" spans="1:19" x14ac:dyDescent="0.3">
      <c r="A82" s="31"/>
      <c r="B82" s="32"/>
      <c r="C82" s="31"/>
      <c r="D82" s="31"/>
      <c r="E82" s="31"/>
      <c r="F82" s="31"/>
      <c r="G82" s="31"/>
      <c r="H82" s="31"/>
      <c r="I82" s="31"/>
      <c r="J82" s="31"/>
      <c r="K82" s="31"/>
      <c r="L82" s="31"/>
      <c r="M82" s="31"/>
      <c r="N82" s="31"/>
      <c r="O82" s="31"/>
      <c r="P82" s="31"/>
      <c r="Q82" s="31"/>
      <c r="R82" s="31"/>
      <c r="S82" s="31"/>
    </row>
    <row r="83" spans="1:19" s="12" customFormat="1" x14ac:dyDescent="0.3">
      <c r="A83" s="31"/>
      <c r="B83" s="32"/>
      <c r="C83" s="31"/>
      <c r="D83" s="31"/>
      <c r="E83" s="31"/>
      <c r="F83" s="31"/>
      <c r="G83" s="31"/>
      <c r="H83" s="31"/>
      <c r="I83" s="31"/>
      <c r="J83" s="31"/>
      <c r="K83" s="31"/>
      <c r="L83" s="31"/>
      <c r="M83" s="31"/>
      <c r="N83" s="31"/>
      <c r="O83" s="31"/>
      <c r="P83" s="31"/>
      <c r="Q83" s="31"/>
      <c r="R83" s="31"/>
      <c r="S83" s="31"/>
    </row>
  </sheetData>
  <mergeCells count="28">
    <mergeCell ref="L61:L62"/>
    <mergeCell ref="G62:I62"/>
    <mergeCell ref="A1:L2"/>
    <mergeCell ref="A61:A62"/>
    <mergeCell ref="B61:B62"/>
    <mergeCell ref="C7:H7"/>
    <mergeCell ref="G8:I8"/>
    <mergeCell ref="C34:H34"/>
    <mergeCell ref="G35:I35"/>
    <mergeCell ref="C61:H61"/>
    <mergeCell ref="B7:B8"/>
    <mergeCell ref="A7:A8"/>
    <mergeCell ref="L7:L8"/>
    <mergeCell ref="A34:A35"/>
    <mergeCell ref="B34:B35"/>
    <mergeCell ref="L34:L35"/>
    <mergeCell ref="C4:I4"/>
    <mergeCell ref="C5:I5"/>
    <mergeCell ref="M1:M2"/>
    <mergeCell ref="C6:I6"/>
    <mergeCell ref="C3:I3"/>
    <mergeCell ref="N61:N62"/>
    <mergeCell ref="O61:O62"/>
    <mergeCell ref="N1:N2"/>
    <mergeCell ref="N7:N8"/>
    <mergeCell ref="O7:O8"/>
    <mergeCell ref="N34:N35"/>
    <mergeCell ref="O34:O35"/>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B821-8983-4194-862A-4F6FEDA6FFF4}">
  <dimension ref="A1:C5"/>
  <sheetViews>
    <sheetView zoomScale="90" zoomScaleNormal="90" workbookViewId="0">
      <selection activeCell="A5" sqref="A5:XFD5"/>
    </sheetView>
  </sheetViews>
  <sheetFormatPr defaultRowHeight="14.4" x14ac:dyDescent="0.3"/>
  <cols>
    <col min="1" max="1" width="44.6640625" customWidth="1"/>
    <col min="2" max="2" width="101.5546875" customWidth="1"/>
    <col min="3" max="3" width="26.5546875" style="2" customWidth="1"/>
  </cols>
  <sheetData>
    <row r="1" spans="1:3" x14ac:dyDescent="0.3">
      <c r="A1" s="28" t="s">
        <v>7</v>
      </c>
      <c r="B1" s="28"/>
      <c r="C1" s="28"/>
    </row>
    <row r="2" spans="1:3" x14ac:dyDescent="0.3">
      <c r="A2" s="4" t="s">
        <v>8</v>
      </c>
      <c r="B2" s="4" t="s">
        <v>9</v>
      </c>
      <c r="C2" s="6" t="s">
        <v>0</v>
      </c>
    </row>
    <row r="3" spans="1:3" ht="129.6" x14ac:dyDescent="0.3">
      <c r="A3" s="1" t="s">
        <v>1</v>
      </c>
      <c r="B3" s="1" t="s">
        <v>2</v>
      </c>
      <c r="C3" s="7" t="s">
        <v>3</v>
      </c>
    </row>
    <row r="4" spans="1:3" ht="172.8" x14ac:dyDescent="0.3">
      <c r="A4" s="1" t="s">
        <v>4</v>
      </c>
      <c r="B4" s="1" t="s">
        <v>5</v>
      </c>
      <c r="C4" s="7" t="s">
        <v>6</v>
      </c>
    </row>
    <row r="5" spans="1:3" s="5" customFormat="1" x14ac:dyDescent="0.3">
      <c r="C5" s="3"/>
    </row>
  </sheetData>
  <mergeCells count="1">
    <mergeCell ref="A1:C1"/>
  </mergeCells>
  <phoneticPr fontId="4" type="noConversion"/>
  <hyperlinks>
    <hyperlink ref="C4" r:id="rId1" xr:uid="{0865150E-D7A1-4EF1-9110-DCA4B8EF6E02}"/>
    <hyperlink ref="C3" r:id="rId2" xr:uid="{8B606413-2CA0-4CC8-844E-1F1A7D2037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quality-assessment-score</vt:lpstr>
      <vt:lpstr>meta-data_quality_assessment_pa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Muhammad Saad Amin</cp:lastModifiedBy>
  <cp:revision/>
  <dcterms:created xsi:type="dcterms:W3CDTF">2025-05-27T10:02:14Z</dcterms:created>
  <dcterms:modified xsi:type="dcterms:W3CDTF">2026-02-13T05:53:50Z</dcterms:modified>
  <cp:category/>
  <cp:contentStatus/>
</cp:coreProperties>
</file>